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ih\OneDrive\Desktop\SIP (Summer Internship Program)\Project\proj dataset\"/>
    </mc:Choice>
  </mc:AlternateContent>
  <xr:revisionPtr revIDLastSave="0" documentId="13_ncr:1_{1FB4846A-B748-44A0-8375-4FD42721A442}" xr6:coauthVersionLast="47" xr6:coauthVersionMax="47" xr10:uidLastSave="{00000000-0000-0000-0000-000000000000}"/>
  <bookViews>
    <workbookView xWindow="-108" yWindow="-108" windowWidth="23256" windowHeight="12456" xr2:uid="{44334F34-8540-4A9F-B8C1-F57F53D213C7}"/>
  </bookViews>
  <sheets>
    <sheet name="Total Meta Lead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2" i="1"/>
  <c r="M2" i="1"/>
  <c r="L2" i="1"/>
  <c r="L3" i="1"/>
  <c r="M3" i="1" s="1"/>
  <c r="L4" i="1"/>
  <c r="L47" i="1"/>
  <c r="M47" i="1" s="1"/>
  <c r="M46" i="1"/>
  <c r="L46" i="1"/>
  <c r="L45" i="1"/>
  <c r="M45" i="1" s="1"/>
  <c r="L44" i="1"/>
  <c r="M44" i="1" s="1"/>
  <c r="L43" i="1"/>
  <c r="M43" i="1" s="1"/>
  <c r="L42" i="1"/>
  <c r="M42" i="1" s="1"/>
  <c r="L41" i="1"/>
  <c r="M41" i="1" s="1"/>
  <c r="L40" i="1"/>
  <c r="M40" i="1" s="1"/>
  <c r="L39" i="1"/>
  <c r="M39" i="1" s="1"/>
  <c r="L38" i="1"/>
  <c r="M38" i="1" s="1"/>
  <c r="L37" i="1"/>
  <c r="M37" i="1" s="1"/>
  <c r="L36" i="1"/>
  <c r="M36" i="1" s="1"/>
  <c r="L35" i="1"/>
  <c r="M35" i="1" s="1"/>
  <c r="L34" i="1"/>
  <c r="M34" i="1" s="1"/>
  <c r="M33" i="1"/>
  <c r="L33" i="1"/>
  <c r="L32" i="1"/>
  <c r="M32" i="1" s="1"/>
  <c r="L31" i="1"/>
  <c r="M31" i="1" s="1"/>
  <c r="M30" i="1"/>
  <c r="L30" i="1"/>
  <c r="L29" i="1"/>
  <c r="M29" i="1" s="1"/>
  <c r="M28" i="1"/>
  <c r="L28" i="1"/>
  <c r="L27" i="1"/>
  <c r="M27" i="1" s="1"/>
  <c r="L26" i="1"/>
  <c r="M26" i="1" s="1"/>
  <c r="L25" i="1"/>
  <c r="M25" i="1" s="1"/>
  <c r="L24" i="1"/>
  <c r="M24" i="1" s="1"/>
  <c r="L23" i="1"/>
  <c r="M23" i="1" s="1"/>
  <c r="L22" i="1"/>
  <c r="M22" i="1" s="1"/>
  <c r="L21" i="1"/>
  <c r="M21" i="1" s="1"/>
  <c r="L20" i="1"/>
  <c r="M20" i="1" s="1"/>
  <c r="L19" i="1"/>
  <c r="M19" i="1" s="1"/>
  <c r="L18" i="1"/>
  <c r="M18" i="1" s="1"/>
  <c r="L17" i="1"/>
  <c r="M17" i="1" s="1"/>
  <c r="L16" i="1"/>
  <c r="M16" i="1" s="1"/>
  <c r="M15" i="1"/>
  <c r="L15" i="1"/>
  <c r="L14" i="1"/>
  <c r="M14" i="1" s="1"/>
  <c r="M13" i="1"/>
  <c r="L13" i="1"/>
  <c r="M12" i="1"/>
  <c r="L12" i="1"/>
  <c r="L11" i="1"/>
  <c r="M11" i="1" s="1"/>
  <c r="L10" i="1"/>
  <c r="M10" i="1" s="1"/>
  <c r="L9" i="1"/>
  <c r="M9" i="1" s="1"/>
  <c r="L8" i="1"/>
  <c r="M8" i="1" s="1"/>
  <c r="L7" i="1"/>
  <c r="M7" i="1" s="1"/>
  <c r="M6" i="1"/>
  <c r="L6" i="1"/>
  <c r="L5" i="1"/>
  <c r="M5" i="1" s="1"/>
  <c r="M4" i="1"/>
</calcChain>
</file>

<file path=xl/sharedStrings.xml><?xml version="1.0" encoding="utf-8"?>
<sst xmlns="http://schemas.openxmlformats.org/spreadsheetml/2006/main" count="59" uniqueCount="55">
  <si>
    <t>Campaign name</t>
  </si>
  <si>
    <t>Results</t>
  </si>
  <si>
    <t>Cost per results</t>
  </si>
  <si>
    <t>Impressions</t>
  </si>
  <si>
    <t>Reach</t>
  </si>
  <si>
    <t>Instagram follows</t>
  </si>
  <si>
    <t>Instagram profile visits</t>
  </si>
  <si>
    <t xml:space="preserve">Amount spent </t>
  </si>
  <si>
    <t xml:space="preserve">GST </t>
  </si>
  <si>
    <t xml:space="preserve">Total Amount </t>
  </si>
  <si>
    <t>Padha gausa Sales campaign</t>
  </si>
  <si>
    <t>Diabetes Sales campaign</t>
  </si>
  <si>
    <t>Akshayan sir online consultation Sales campaign</t>
  </si>
  <si>
    <t>Click-Through Rate (CTR)</t>
  </si>
  <si>
    <t>Pain free Sales campaign</t>
  </si>
  <si>
    <t>paadha guausa Sales campaign</t>
  </si>
  <si>
    <t>Panchakarma  Sales campaign</t>
  </si>
  <si>
    <t>CH - Anna nagar  Sales campaign</t>
  </si>
  <si>
    <t>womens day camp Sales campaign</t>
  </si>
  <si>
    <t>cool pro Sales Campaign</t>
  </si>
  <si>
    <t>Accu book Sales Campaign</t>
  </si>
  <si>
    <t>Date</t>
  </si>
  <si>
    <t>Sno</t>
  </si>
  <si>
    <t>Anna nagar Sales Campaign</t>
  </si>
  <si>
    <t>Kuppameni Traffic Campaign</t>
  </si>
  <si>
    <t>Hiring Leads Campaign</t>
  </si>
  <si>
    <t>Brush Sales Campaign</t>
  </si>
  <si>
    <t>Toothpaste Sales Campaign</t>
  </si>
  <si>
    <t>acting Leads Campaign</t>
  </si>
  <si>
    <t>OP Leads Campaign</t>
  </si>
  <si>
    <t>hiring Leads Campaign</t>
  </si>
  <si>
    <t>Iyarkai maruthuvam Leads Campaign</t>
  </si>
  <si>
    <t>Book Leads Campaign</t>
  </si>
  <si>
    <t>Janu Vasti Leads Campaign</t>
  </si>
  <si>
    <t>Idhaya shanthi Sales Campaign</t>
  </si>
  <si>
    <t>hiring  Leads Campaign</t>
  </si>
  <si>
    <t>Sales Campaign</t>
  </si>
  <si>
    <t>branding  Traffic Campaign</t>
  </si>
  <si>
    <t>curcumin Leads Campaign</t>
  </si>
  <si>
    <t>op  Leads Campaign</t>
  </si>
  <si>
    <t>OP Lead Form  Campaign</t>
  </si>
  <si>
    <t>curcumin Lead form Campaign</t>
  </si>
  <si>
    <t>paadha guasa 2 Leads Campaign</t>
  </si>
  <si>
    <t>panchakarma Leads Campaign</t>
  </si>
  <si>
    <t>paadha guasa kaviya Leads Campaign</t>
  </si>
  <si>
    <t>fertility Leads Campaign</t>
  </si>
  <si>
    <t>paadha guasa 3 Leads Campaign</t>
  </si>
  <si>
    <t>liverforte Engagement Campaign</t>
  </si>
  <si>
    <t>spirulina Sales Campaign</t>
  </si>
  <si>
    <t>Idhaya shanthi  Leads Campaign</t>
  </si>
  <si>
    <t>888 Engagement Campaign</t>
  </si>
  <si>
    <t>Panchakarma  Leads Campaign</t>
  </si>
  <si>
    <t>Hair oil Sales Campaign</t>
  </si>
  <si>
    <t xml:space="preserve"> Leads Campaign</t>
  </si>
  <si>
    <t xml:space="preserve">  Sales Campaign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</si>
</sst>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26681-0753-43A7-BCF5-C3F755EBB972}">
  <dimension ref="A1:M47"/>
  <sheetViews>
    <sheetView tabSelected="1" zoomScale="72" zoomScaleNormal="72" workbookViewId="0">
      <selection activeCell="P11" sqref="P11"/>
    </sheetView>
  </sheetViews>
  <sheetFormatPr defaultRowHeight="14.4" x14ac:dyDescent="0.3"/>
  <cols>
    <col min="1" max="1" width="8.88671875" style="2"/>
    <col min="2" max="2" width="66.21875" bestFit="1" customWidth="1"/>
    <col min="3" max="3" width="11.21875" bestFit="1" customWidth="1"/>
    <col min="4" max="4" width="10.44140625" style="2" bestFit="1" customWidth="1"/>
    <col min="5" max="5" width="21.21875" style="2" bestFit="1" customWidth="1"/>
    <col min="6" max="6" width="12.109375" style="2" bestFit="1" customWidth="1"/>
    <col min="7" max="7" width="10.6640625" style="2" bestFit="1" customWidth="1"/>
    <col min="8" max="8" width="17.77734375" style="2" bestFit="1" customWidth="1"/>
    <col min="9" max="9" width="22.44140625" style="2" bestFit="1" customWidth="1"/>
    <col min="10" max="10" width="22.21875" style="2" bestFit="1" customWidth="1"/>
    <col min="11" max="11" width="15" style="2" bestFit="1" customWidth="1"/>
    <col min="12" max="12" width="10" style="2" bestFit="1" customWidth="1"/>
    <col min="13" max="13" width="14.5546875" style="2" bestFit="1" customWidth="1"/>
  </cols>
  <sheetData>
    <row r="1" spans="1:13" ht="15.6" x14ac:dyDescent="0.3">
      <c r="A1" s="1" t="s">
        <v>22</v>
      </c>
      <c r="B1" s="1" t="s">
        <v>0</v>
      </c>
      <c r="C1" s="4" t="s">
        <v>21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13</v>
      </c>
      <c r="K1" s="1" t="s">
        <v>7</v>
      </c>
      <c r="L1" s="1" t="s">
        <v>8</v>
      </c>
      <c r="M1" s="1" t="s">
        <v>9</v>
      </c>
    </row>
    <row r="2" spans="1:13" x14ac:dyDescent="0.3">
      <c r="A2" s="2">
        <v>1</v>
      </c>
      <c r="B2" t="s">
        <v>10</v>
      </c>
      <c r="C2" s="3">
        <v>46077</v>
      </c>
      <c r="D2" s="2">
        <v>61</v>
      </c>
      <c r="E2" s="2">
        <f>K2/D2</f>
        <v>57.681967213114753</v>
      </c>
      <c r="F2" s="2">
        <v>325458</v>
      </c>
      <c r="G2" s="2">
        <v>152212</v>
      </c>
      <c r="H2" s="2">
        <v>4</v>
      </c>
      <c r="I2" s="2">
        <v>136</v>
      </c>
      <c r="J2" s="2">
        <v>0.17544499999999999</v>
      </c>
      <c r="K2" s="2">
        <v>3518.6</v>
      </c>
      <c r="L2" s="2">
        <f t="shared" ref="L2:L3" si="0">K2*0.18</f>
        <v>633.34799999999996</v>
      </c>
      <c r="M2" s="2">
        <f t="shared" ref="M2:M47" si="1">SUM(K2,L2)</f>
        <v>4151.9480000000003</v>
      </c>
    </row>
    <row r="3" spans="1:13" x14ac:dyDescent="0.3">
      <c r="A3" s="2">
        <v>2</v>
      </c>
      <c r="B3" t="s">
        <v>11</v>
      </c>
      <c r="C3" s="3">
        <v>46087</v>
      </c>
      <c r="D3" s="2">
        <v>242</v>
      </c>
      <c r="E3" s="2">
        <f t="shared" ref="E3:E47" si="2">K3/D3</f>
        <v>16.659338842975206</v>
      </c>
      <c r="F3" s="2">
        <v>60024</v>
      </c>
      <c r="G3" s="2">
        <v>36223</v>
      </c>
      <c r="H3" s="2">
        <v>1</v>
      </c>
      <c r="I3" s="2">
        <v>63</v>
      </c>
      <c r="J3" s="2">
        <v>2.205784</v>
      </c>
      <c r="K3" s="2">
        <v>4031.56</v>
      </c>
      <c r="L3" s="2">
        <f t="shared" si="0"/>
        <v>725.68079999999998</v>
      </c>
      <c r="M3" s="2">
        <f t="shared" si="1"/>
        <v>4757.2407999999996</v>
      </c>
    </row>
    <row r="4" spans="1:13" x14ac:dyDescent="0.3">
      <c r="A4" s="2">
        <v>3</v>
      </c>
      <c r="B4" t="s">
        <v>12</v>
      </c>
      <c r="C4" s="3">
        <v>46105</v>
      </c>
      <c r="D4" s="2">
        <v>1</v>
      </c>
      <c r="E4" s="2">
        <f t="shared" si="2"/>
        <v>36.58</v>
      </c>
      <c r="F4" s="2">
        <v>289</v>
      </c>
      <c r="G4" s="2">
        <v>276</v>
      </c>
      <c r="H4" s="2">
        <v>0</v>
      </c>
      <c r="I4" s="2">
        <v>2</v>
      </c>
      <c r="J4" s="2">
        <v>2.7681659999999999</v>
      </c>
      <c r="K4" s="2">
        <v>36.58</v>
      </c>
      <c r="L4" s="2">
        <f>K4*0.18</f>
        <v>6.5843999999999996</v>
      </c>
      <c r="M4" s="2">
        <f t="shared" si="1"/>
        <v>43.164400000000001</v>
      </c>
    </row>
    <row r="5" spans="1:13" x14ac:dyDescent="0.3">
      <c r="A5" s="2">
        <v>4</v>
      </c>
      <c r="B5" t="s">
        <v>14</v>
      </c>
      <c r="C5" s="3">
        <v>46083</v>
      </c>
      <c r="D5" s="2">
        <v>5</v>
      </c>
      <c r="E5" s="2">
        <f t="shared" si="2"/>
        <v>80.751999999999995</v>
      </c>
      <c r="F5" s="2">
        <v>14563</v>
      </c>
      <c r="G5" s="2">
        <v>10097</v>
      </c>
      <c r="H5" s="2">
        <v>1</v>
      </c>
      <c r="I5" s="2">
        <v>22</v>
      </c>
      <c r="J5" s="2">
        <v>1.119275</v>
      </c>
      <c r="K5" s="2">
        <v>403.76</v>
      </c>
      <c r="L5" s="2">
        <f t="shared" ref="L5:L47" si="3">K5*0.18</f>
        <v>72.6768</v>
      </c>
      <c r="M5" s="2">
        <f t="shared" si="1"/>
        <v>476.43680000000001</v>
      </c>
    </row>
    <row r="6" spans="1:13" x14ac:dyDescent="0.3">
      <c r="A6" s="2">
        <v>5</v>
      </c>
      <c r="B6" t="s">
        <v>15</v>
      </c>
      <c r="C6" s="3">
        <v>46078</v>
      </c>
      <c r="D6" s="2">
        <v>293</v>
      </c>
      <c r="E6" s="2">
        <f t="shared" si="2"/>
        <v>32.390887372013651</v>
      </c>
      <c r="F6" s="2">
        <v>625266</v>
      </c>
      <c r="G6" s="2">
        <v>471632</v>
      </c>
      <c r="H6" s="2">
        <v>17</v>
      </c>
      <c r="I6" s="2">
        <v>357</v>
      </c>
      <c r="J6" s="2">
        <v>0.42893700000000001</v>
      </c>
      <c r="K6" s="2">
        <v>9490.5300000000007</v>
      </c>
      <c r="L6" s="2">
        <f t="shared" si="3"/>
        <v>1708.2954</v>
      </c>
      <c r="M6" s="2">
        <f t="shared" si="1"/>
        <v>11198.825400000002</v>
      </c>
    </row>
    <row r="7" spans="1:13" x14ac:dyDescent="0.3">
      <c r="A7" s="2">
        <v>6</v>
      </c>
      <c r="B7" t="s">
        <v>16</v>
      </c>
      <c r="C7" s="3">
        <v>46078</v>
      </c>
      <c r="D7" s="2">
        <v>120</v>
      </c>
      <c r="E7" s="2">
        <f t="shared" si="2"/>
        <v>51.330249999999999</v>
      </c>
      <c r="F7" s="2">
        <v>444235</v>
      </c>
      <c r="G7" s="2">
        <v>307541</v>
      </c>
      <c r="H7" s="2">
        <v>6</v>
      </c>
      <c r="I7" s="2">
        <v>270</v>
      </c>
      <c r="J7" s="2">
        <v>0.377278</v>
      </c>
      <c r="K7" s="2">
        <v>6159.63</v>
      </c>
      <c r="L7" s="2">
        <f t="shared" si="3"/>
        <v>1108.7334000000001</v>
      </c>
      <c r="M7" s="2">
        <f t="shared" si="1"/>
        <v>7268.3634000000002</v>
      </c>
    </row>
    <row r="8" spans="1:13" x14ac:dyDescent="0.3">
      <c r="A8" s="2">
        <v>7</v>
      </c>
      <c r="B8" t="s">
        <v>17</v>
      </c>
      <c r="C8" s="3">
        <v>46055</v>
      </c>
      <c r="D8" s="2">
        <v>97</v>
      </c>
      <c r="E8" s="2">
        <f t="shared" si="2"/>
        <v>23.547010309278349</v>
      </c>
      <c r="F8" s="2">
        <v>130604</v>
      </c>
      <c r="G8" s="2">
        <v>90065</v>
      </c>
      <c r="H8" s="2">
        <v>8</v>
      </c>
      <c r="I8" s="2">
        <v>97</v>
      </c>
      <c r="J8" s="2">
        <v>0.52831499999999998</v>
      </c>
      <c r="K8" s="2">
        <v>2284.06</v>
      </c>
      <c r="L8" s="2">
        <f t="shared" si="3"/>
        <v>411.13079999999997</v>
      </c>
      <c r="M8" s="2">
        <f t="shared" si="1"/>
        <v>2695.1907999999999</v>
      </c>
    </row>
    <row r="9" spans="1:13" x14ac:dyDescent="0.3">
      <c r="A9" s="2">
        <v>8</v>
      </c>
      <c r="B9" t="s">
        <v>18</v>
      </c>
      <c r="C9" s="3">
        <v>46085</v>
      </c>
      <c r="D9" s="2">
        <v>17</v>
      </c>
      <c r="E9" s="2">
        <f t="shared" si="2"/>
        <v>95.294117647058826</v>
      </c>
      <c r="F9" s="2">
        <v>170191</v>
      </c>
      <c r="G9" s="2">
        <v>84811</v>
      </c>
      <c r="H9" s="2">
        <v>1</v>
      </c>
      <c r="I9" s="2">
        <v>89</v>
      </c>
      <c r="J9" s="2">
        <v>0.113402</v>
      </c>
      <c r="K9" s="2">
        <v>1620</v>
      </c>
      <c r="L9" s="2">
        <f t="shared" si="3"/>
        <v>291.59999999999997</v>
      </c>
      <c r="M9" s="2">
        <f t="shared" si="1"/>
        <v>1911.6</v>
      </c>
    </row>
    <row r="10" spans="1:13" x14ac:dyDescent="0.3">
      <c r="A10" s="2">
        <v>9</v>
      </c>
      <c r="B10" t="s">
        <v>19</v>
      </c>
      <c r="C10" s="3">
        <v>46092</v>
      </c>
      <c r="D10" s="2">
        <v>281</v>
      </c>
      <c r="E10" s="2">
        <f t="shared" si="2"/>
        <v>19.449644128113881</v>
      </c>
      <c r="F10" s="2">
        <v>101410</v>
      </c>
      <c r="G10" s="2">
        <v>59954</v>
      </c>
      <c r="H10" s="2">
        <v>12</v>
      </c>
      <c r="I10" s="2">
        <v>168</v>
      </c>
      <c r="J10" s="2">
        <v>1.534365</v>
      </c>
      <c r="K10" s="2">
        <v>5465.35</v>
      </c>
      <c r="L10" s="2">
        <f t="shared" si="3"/>
        <v>983.76300000000003</v>
      </c>
      <c r="M10" s="2">
        <f t="shared" si="1"/>
        <v>6449.1130000000003</v>
      </c>
    </row>
    <row r="11" spans="1:13" x14ac:dyDescent="0.3">
      <c r="A11" s="2">
        <v>10</v>
      </c>
      <c r="B11" t="s">
        <v>20</v>
      </c>
      <c r="C11" s="3">
        <v>46098</v>
      </c>
      <c r="D11" s="2">
        <v>44</v>
      </c>
      <c r="E11" s="2">
        <f t="shared" si="2"/>
        <v>58.211818181818188</v>
      </c>
      <c r="F11" s="2">
        <v>39124</v>
      </c>
      <c r="G11" s="2">
        <v>24258</v>
      </c>
      <c r="H11" s="2">
        <v>4</v>
      </c>
      <c r="I11" s="2">
        <v>78</v>
      </c>
      <c r="J11" s="2">
        <v>1.730396</v>
      </c>
      <c r="K11" s="2">
        <v>2561.3200000000002</v>
      </c>
      <c r="L11" s="2">
        <f t="shared" si="3"/>
        <v>461.0376</v>
      </c>
      <c r="M11" s="2">
        <f t="shared" si="1"/>
        <v>3022.3576000000003</v>
      </c>
    </row>
    <row r="12" spans="1:13" x14ac:dyDescent="0.3">
      <c r="A12" s="2">
        <v>11</v>
      </c>
      <c r="B12" t="s">
        <v>23</v>
      </c>
      <c r="C12" s="3">
        <v>46098</v>
      </c>
      <c r="D12" s="2">
        <v>21</v>
      </c>
      <c r="E12" s="2">
        <f t="shared" si="2"/>
        <v>89.426190476190484</v>
      </c>
      <c r="F12" s="2">
        <v>47749</v>
      </c>
      <c r="G12" s="2">
        <v>33441</v>
      </c>
      <c r="H12" s="2">
        <v>0</v>
      </c>
      <c r="I12" s="2">
        <v>10</v>
      </c>
      <c r="J12" s="2">
        <v>0.80001699999999998</v>
      </c>
      <c r="K12" s="2">
        <v>1877.95</v>
      </c>
      <c r="L12" s="2">
        <f t="shared" si="3"/>
        <v>338.03100000000001</v>
      </c>
      <c r="M12" s="2">
        <f t="shared" si="1"/>
        <v>2215.9810000000002</v>
      </c>
    </row>
    <row r="13" spans="1:13" x14ac:dyDescent="0.3">
      <c r="A13" s="2">
        <v>12</v>
      </c>
      <c r="B13" t="s">
        <v>24</v>
      </c>
      <c r="C13" s="3">
        <v>46099</v>
      </c>
      <c r="D13" s="2">
        <v>132</v>
      </c>
      <c r="E13" s="2">
        <f t="shared" si="2"/>
        <v>16.983409090909092</v>
      </c>
      <c r="F13" s="2">
        <v>51033</v>
      </c>
      <c r="G13" s="2">
        <v>24980</v>
      </c>
      <c r="H13" s="2">
        <v>4</v>
      </c>
      <c r="I13" s="2">
        <v>77</v>
      </c>
      <c r="J13" s="2">
        <v>0.77400899999999995</v>
      </c>
      <c r="K13" s="2">
        <v>2241.81</v>
      </c>
      <c r="L13" s="2">
        <f t="shared" si="3"/>
        <v>403.52579999999995</v>
      </c>
      <c r="M13" s="2">
        <f t="shared" si="1"/>
        <v>2645.3357999999998</v>
      </c>
    </row>
    <row r="14" spans="1:13" x14ac:dyDescent="0.3">
      <c r="A14" s="2">
        <v>13</v>
      </c>
      <c r="B14" t="s">
        <v>25</v>
      </c>
      <c r="C14" s="3">
        <v>46101</v>
      </c>
      <c r="D14" s="2">
        <v>90</v>
      </c>
      <c r="E14" s="2">
        <f t="shared" si="2"/>
        <v>12.096222222222224</v>
      </c>
      <c r="F14" s="2">
        <v>22112</v>
      </c>
      <c r="G14" s="2">
        <v>9450</v>
      </c>
      <c r="H14" s="2">
        <v>5</v>
      </c>
      <c r="I14" s="2">
        <v>113</v>
      </c>
      <c r="J14" s="2">
        <v>2.0531839999999999</v>
      </c>
      <c r="K14" s="2">
        <v>1088.6600000000001</v>
      </c>
      <c r="L14" s="2">
        <f t="shared" si="3"/>
        <v>195.9588</v>
      </c>
      <c r="M14" s="2">
        <f t="shared" si="1"/>
        <v>1284.6188000000002</v>
      </c>
    </row>
    <row r="15" spans="1:13" x14ac:dyDescent="0.3">
      <c r="A15" s="2">
        <v>14</v>
      </c>
      <c r="B15" t="s">
        <v>23</v>
      </c>
      <c r="C15" s="3">
        <v>46104</v>
      </c>
      <c r="D15" s="2">
        <v>1</v>
      </c>
      <c r="E15" s="2">
        <f t="shared" si="2"/>
        <v>705.25</v>
      </c>
      <c r="F15" s="2">
        <v>13327</v>
      </c>
      <c r="G15" s="2">
        <v>6858</v>
      </c>
      <c r="H15" s="2">
        <v>0</v>
      </c>
      <c r="I15" s="2">
        <v>2</v>
      </c>
      <c r="J15" s="2">
        <v>1.0805130000000001</v>
      </c>
      <c r="K15" s="2">
        <v>705.25</v>
      </c>
      <c r="L15" s="2">
        <f t="shared" si="3"/>
        <v>126.94499999999999</v>
      </c>
      <c r="M15" s="2">
        <f t="shared" si="1"/>
        <v>832.19499999999994</v>
      </c>
    </row>
    <row r="16" spans="1:13" x14ac:dyDescent="0.3">
      <c r="A16" s="2">
        <v>15</v>
      </c>
      <c r="B16" t="s">
        <v>53</v>
      </c>
      <c r="C16" s="3">
        <v>46111</v>
      </c>
      <c r="D16" s="2">
        <v>28</v>
      </c>
      <c r="E16" s="2">
        <f t="shared" si="2"/>
        <v>48.746071428571433</v>
      </c>
      <c r="F16" s="2">
        <v>105040</v>
      </c>
      <c r="G16" s="2">
        <v>72016</v>
      </c>
      <c r="H16" s="2">
        <v>3</v>
      </c>
      <c r="I16" s="2">
        <v>62</v>
      </c>
      <c r="J16" s="2">
        <v>0.38747100000000001</v>
      </c>
      <c r="K16" s="2">
        <v>1364.89</v>
      </c>
      <c r="L16" s="2">
        <f t="shared" si="3"/>
        <v>245.68020000000001</v>
      </c>
      <c r="M16" s="2">
        <f t="shared" si="1"/>
        <v>1610.5702000000001</v>
      </c>
    </row>
    <row r="17" spans="1:13" x14ac:dyDescent="0.3">
      <c r="A17" s="2">
        <v>16</v>
      </c>
      <c r="B17" t="s">
        <v>26</v>
      </c>
      <c r="C17" s="3">
        <v>46115</v>
      </c>
      <c r="D17" s="2">
        <v>72</v>
      </c>
      <c r="E17" s="2">
        <f t="shared" si="2"/>
        <v>65.166527777777773</v>
      </c>
      <c r="F17" s="2">
        <v>712655</v>
      </c>
      <c r="G17" s="2">
        <v>459903</v>
      </c>
      <c r="H17" s="2">
        <v>6</v>
      </c>
      <c r="I17" s="2">
        <v>382</v>
      </c>
      <c r="J17" s="2">
        <v>0.180592</v>
      </c>
      <c r="K17" s="2">
        <v>4691.99</v>
      </c>
      <c r="L17" s="2">
        <f t="shared" si="3"/>
        <v>844.55819999999994</v>
      </c>
      <c r="M17" s="2">
        <f t="shared" si="1"/>
        <v>5536.5481999999993</v>
      </c>
    </row>
    <row r="18" spans="1:13" x14ac:dyDescent="0.3">
      <c r="A18" s="2">
        <v>17</v>
      </c>
      <c r="B18" t="s">
        <v>27</v>
      </c>
      <c r="C18" s="3">
        <v>46116</v>
      </c>
      <c r="D18" s="2">
        <v>79</v>
      </c>
      <c r="E18" s="2">
        <f t="shared" si="2"/>
        <v>41.161392405063289</v>
      </c>
      <c r="F18" s="2">
        <v>552823</v>
      </c>
      <c r="G18" s="2">
        <v>426692</v>
      </c>
      <c r="H18" s="2">
        <v>5</v>
      </c>
      <c r="I18" s="2">
        <v>218</v>
      </c>
      <c r="J18" s="2">
        <v>0.13711400000000001</v>
      </c>
      <c r="K18" s="2">
        <v>3251.75</v>
      </c>
      <c r="L18" s="2">
        <f t="shared" si="3"/>
        <v>585.31499999999994</v>
      </c>
      <c r="M18" s="2">
        <f t="shared" si="1"/>
        <v>3837.0650000000001</v>
      </c>
    </row>
    <row r="19" spans="1:13" x14ac:dyDescent="0.3">
      <c r="A19" s="2">
        <v>18</v>
      </c>
      <c r="B19" t="s">
        <v>28</v>
      </c>
      <c r="C19" s="3">
        <v>46116</v>
      </c>
      <c r="D19" s="2">
        <v>105</v>
      </c>
      <c r="E19" s="2">
        <f t="shared" si="2"/>
        <v>4.4651428571428573</v>
      </c>
      <c r="F19" s="2">
        <v>13132</v>
      </c>
      <c r="G19" s="2">
        <v>6319</v>
      </c>
      <c r="H19" s="2">
        <v>2</v>
      </c>
      <c r="I19" s="2">
        <v>104</v>
      </c>
      <c r="J19" s="2">
        <v>3.0688390000000001</v>
      </c>
      <c r="K19" s="2">
        <v>468.84</v>
      </c>
      <c r="L19" s="2">
        <f t="shared" si="3"/>
        <v>84.391199999999998</v>
      </c>
      <c r="M19" s="2">
        <f t="shared" si="1"/>
        <v>553.23119999999994</v>
      </c>
    </row>
    <row r="20" spans="1:13" x14ac:dyDescent="0.3">
      <c r="A20" s="2">
        <v>19</v>
      </c>
      <c r="B20" t="s">
        <v>29</v>
      </c>
      <c r="C20" s="3">
        <v>46120</v>
      </c>
      <c r="D20" s="2">
        <v>42</v>
      </c>
      <c r="E20" s="2">
        <f t="shared" si="2"/>
        <v>81.988095238095241</v>
      </c>
      <c r="F20" s="2">
        <v>303504</v>
      </c>
      <c r="G20" s="2">
        <v>209732</v>
      </c>
      <c r="H20" s="2">
        <v>0</v>
      </c>
      <c r="I20" s="2">
        <v>140</v>
      </c>
      <c r="J20" s="2">
        <v>0.30576199999999998</v>
      </c>
      <c r="K20" s="2">
        <v>3443.5</v>
      </c>
      <c r="L20" s="2">
        <f t="shared" si="3"/>
        <v>619.82999999999993</v>
      </c>
      <c r="M20" s="2">
        <f t="shared" si="1"/>
        <v>4063.33</v>
      </c>
    </row>
    <row r="21" spans="1:13" x14ac:dyDescent="0.3">
      <c r="A21" s="2">
        <v>20</v>
      </c>
      <c r="B21" t="s">
        <v>54</v>
      </c>
      <c r="C21" s="3">
        <v>46122</v>
      </c>
      <c r="D21" s="2">
        <v>1</v>
      </c>
      <c r="E21" s="2">
        <f t="shared" si="2"/>
        <v>1186.96</v>
      </c>
      <c r="F21" s="2">
        <v>166363</v>
      </c>
      <c r="G21" s="2">
        <v>103979</v>
      </c>
      <c r="H21" s="2">
        <v>0</v>
      </c>
      <c r="I21" s="2">
        <v>51</v>
      </c>
      <c r="J21" s="2">
        <v>8.1749000000000002E-2</v>
      </c>
      <c r="K21" s="2">
        <v>1186.96</v>
      </c>
      <c r="L21" s="2">
        <f t="shared" si="3"/>
        <v>213.65279999999998</v>
      </c>
      <c r="M21" s="2">
        <f t="shared" si="1"/>
        <v>1400.6128000000001</v>
      </c>
    </row>
    <row r="22" spans="1:13" x14ac:dyDescent="0.3">
      <c r="A22" s="2">
        <v>21</v>
      </c>
      <c r="B22" t="s">
        <v>54</v>
      </c>
      <c r="C22" s="3">
        <v>46132</v>
      </c>
      <c r="D22" s="2">
        <v>35</v>
      </c>
      <c r="E22" s="2">
        <f t="shared" si="2"/>
        <v>77.122857142857143</v>
      </c>
      <c r="F22" s="2">
        <v>98952</v>
      </c>
      <c r="G22" s="2">
        <v>50123</v>
      </c>
      <c r="H22" s="2">
        <v>2</v>
      </c>
      <c r="I22" s="2">
        <v>153</v>
      </c>
      <c r="J22" s="2">
        <v>0.48306199999999999</v>
      </c>
      <c r="K22" s="2">
        <v>2699.3</v>
      </c>
      <c r="L22" s="2">
        <f t="shared" si="3"/>
        <v>485.87400000000002</v>
      </c>
      <c r="M22" s="2">
        <f t="shared" si="1"/>
        <v>3185.174</v>
      </c>
    </row>
    <row r="23" spans="1:13" x14ac:dyDescent="0.3">
      <c r="A23" s="2">
        <v>22</v>
      </c>
      <c r="B23" t="s">
        <v>30</v>
      </c>
      <c r="C23" s="3">
        <v>46134</v>
      </c>
      <c r="D23" s="2">
        <v>178</v>
      </c>
      <c r="E23" s="2">
        <f t="shared" si="2"/>
        <v>8.4466292134831455</v>
      </c>
      <c r="F23" s="2">
        <v>30388</v>
      </c>
      <c r="G23" s="2">
        <v>18542</v>
      </c>
      <c r="H23" s="2">
        <v>0</v>
      </c>
      <c r="I23" s="2">
        <v>134</v>
      </c>
      <c r="J23" s="2">
        <v>2.8333550000000001</v>
      </c>
      <c r="K23" s="2">
        <v>1503.5</v>
      </c>
      <c r="L23" s="2">
        <f t="shared" si="3"/>
        <v>270.63</v>
      </c>
      <c r="M23" s="2">
        <f t="shared" si="1"/>
        <v>1774.13</v>
      </c>
    </row>
    <row r="24" spans="1:13" x14ac:dyDescent="0.3">
      <c r="A24" s="2">
        <v>23</v>
      </c>
      <c r="B24" t="s">
        <v>31</v>
      </c>
      <c r="C24" s="3">
        <v>46136</v>
      </c>
      <c r="D24" s="2">
        <v>14</v>
      </c>
      <c r="E24" s="2">
        <f t="shared" si="2"/>
        <v>99.102857142857147</v>
      </c>
      <c r="F24" s="2">
        <v>122062</v>
      </c>
      <c r="G24" s="2">
        <v>80857</v>
      </c>
      <c r="H24" s="2">
        <v>1</v>
      </c>
      <c r="I24" s="2">
        <v>57</v>
      </c>
      <c r="J24" s="2">
        <v>0.48827599999999999</v>
      </c>
      <c r="K24" s="2">
        <v>1387.44</v>
      </c>
      <c r="L24" s="2">
        <f t="shared" si="3"/>
        <v>249.73920000000001</v>
      </c>
      <c r="M24" s="2">
        <f t="shared" si="1"/>
        <v>1637.1792</v>
      </c>
    </row>
    <row r="25" spans="1:13" x14ac:dyDescent="0.3">
      <c r="A25" s="2">
        <v>24</v>
      </c>
      <c r="B25" t="s">
        <v>32</v>
      </c>
      <c r="C25" s="3">
        <v>46136</v>
      </c>
      <c r="D25" s="2">
        <v>16</v>
      </c>
      <c r="E25" s="2">
        <f t="shared" si="2"/>
        <v>74.651875000000004</v>
      </c>
      <c r="F25" s="2">
        <v>79398</v>
      </c>
      <c r="G25" s="2">
        <v>53588</v>
      </c>
      <c r="H25" s="2">
        <v>0</v>
      </c>
      <c r="I25" s="2">
        <v>35</v>
      </c>
      <c r="J25" s="2">
        <v>1.0239549999999999</v>
      </c>
      <c r="K25" s="2">
        <v>1194.43</v>
      </c>
      <c r="L25" s="2">
        <f t="shared" si="3"/>
        <v>214.9974</v>
      </c>
      <c r="M25" s="2">
        <f t="shared" si="1"/>
        <v>1409.4274</v>
      </c>
    </row>
    <row r="26" spans="1:13" x14ac:dyDescent="0.3">
      <c r="A26" s="2">
        <v>25</v>
      </c>
      <c r="B26" t="s">
        <v>33</v>
      </c>
      <c r="C26" s="3">
        <v>46147</v>
      </c>
      <c r="D26" s="2">
        <v>16</v>
      </c>
      <c r="E26" s="2">
        <f t="shared" si="2"/>
        <v>94.037499999999994</v>
      </c>
      <c r="F26" s="2">
        <v>85896</v>
      </c>
      <c r="G26" s="2">
        <v>57022</v>
      </c>
      <c r="H26" s="2">
        <v>1</v>
      </c>
      <c r="I26" s="2">
        <v>71</v>
      </c>
      <c r="J26" s="2">
        <v>0.38535000000000003</v>
      </c>
      <c r="K26" s="2">
        <v>1504.6</v>
      </c>
      <c r="L26" s="2">
        <f t="shared" si="3"/>
        <v>270.82799999999997</v>
      </c>
      <c r="M26" s="2">
        <f t="shared" si="1"/>
        <v>1775.4279999999999</v>
      </c>
    </row>
    <row r="27" spans="1:13" x14ac:dyDescent="0.3">
      <c r="A27" s="2">
        <v>26</v>
      </c>
      <c r="B27" t="s">
        <v>34</v>
      </c>
      <c r="C27" s="3">
        <v>46148</v>
      </c>
      <c r="D27" s="2">
        <v>2</v>
      </c>
      <c r="E27" s="2">
        <f t="shared" si="2"/>
        <v>274</v>
      </c>
      <c r="F27" s="2">
        <v>28519</v>
      </c>
      <c r="G27" s="2">
        <v>20260</v>
      </c>
      <c r="H27" s="2">
        <v>0</v>
      </c>
      <c r="I27" s="2">
        <v>22</v>
      </c>
      <c r="J27" s="2">
        <v>0.459343</v>
      </c>
      <c r="K27" s="2">
        <v>548</v>
      </c>
      <c r="L27" s="2">
        <f t="shared" si="3"/>
        <v>98.64</v>
      </c>
      <c r="M27" s="2">
        <f t="shared" si="1"/>
        <v>646.64</v>
      </c>
    </row>
    <row r="28" spans="1:13" x14ac:dyDescent="0.3">
      <c r="A28" s="2">
        <v>27</v>
      </c>
      <c r="B28" t="s">
        <v>35</v>
      </c>
      <c r="C28" s="3">
        <v>46149</v>
      </c>
      <c r="D28" s="2">
        <v>57</v>
      </c>
      <c r="E28" s="2">
        <f t="shared" si="2"/>
        <v>18.506315789473682</v>
      </c>
      <c r="F28" s="2">
        <v>14444</v>
      </c>
      <c r="G28" s="2">
        <v>6732</v>
      </c>
      <c r="H28" s="2">
        <v>0</v>
      </c>
      <c r="I28" s="2">
        <v>70</v>
      </c>
      <c r="J28" s="2">
        <v>1.8485180000000001</v>
      </c>
      <c r="K28" s="2">
        <v>1054.8599999999999</v>
      </c>
      <c r="L28" s="2">
        <f t="shared" si="3"/>
        <v>189.87479999999996</v>
      </c>
      <c r="M28" s="2">
        <f t="shared" si="1"/>
        <v>1244.7348</v>
      </c>
    </row>
    <row r="29" spans="1:13" x14ac:dyDescent="0.3">
      <c r="A29" s="2">
        <v>28</v>
      </c>
      <c r="B29" t="s">
        <v>36</v>
      </c>
      <c r="C29" s="3">
        <v>46153</v>
      </c>
      <c r="D29" s="2">
        <v>27</v>
      </c>
      <c r="E29" s="2">
        <f t="shared" si="2"/>
        <v>41.833333333333336</v>
      </c>
      <c r="F29" s="2">
        <v>97839</v>
      </c>
      <c r="G29" s="2">
        <v>81795</v>
      </c>
      <c r="H29" s="2">
        <v>1</v>
      </c>
      <c r="I29" s="2">
        <v>35</v>
      </c>
      <c r="J29" s="2">
        <v>0.44358599999999998</v>
      </c>
      <c r="K29" s="2">
        <v>1129.5</v>
      </c>
      <c r="L29" s="2">
        <f t="shared" si="3"/>
        <v>203.31</v>
      </c>
      <c r="M29" s="2">
        <f t="shared" si="1"/>
        <v>1332.81</v>
      </c>
    </row>
    <row r="30" spans="1:13" x14ac:dyDescent="0.3">
      <c r="A30" s="2">
        <v>29</v>
      </c>
      <c r="B30" t="s">
        <v>37</v>
      </c>
      <c r="C30" s="3">
        <v>46153</v>
      </c>
      <c r="D30" s="2">
        <v>7</v>
      </c>
      <c r="E30" s="2">
        <f t="shared" si="2"/>
        <v>98.102857142857147</v>
      </c>
      <c r="F30" s="2">
        <v>48277</v>
      </c>
      <c r="G30" s="2">
        <v>31979</v>
      </c>
      <c r="H30" s="2">
        <v>0</v>
      </c>
      <c r="I30" s="2">
        <v>27</v>
      </c>
      <c r="J30" s="2">
        <v>0.47434599999999999</v>
      </c>
      <c r="K30" s="2">
        <v>686.72</v>
      </c>
      <c r="L30" s="2">
        <f t="shared" si="3"/>
        <v>123.6096</v>
      </c>
      <c r="M30" s="2">
        <f t="shared" si="1"/>
        <v>810.32960000000003</v>
      </c>
    </row>
    <row r="31" spans="1:13" x14ac:dyDescent="0.3">
      <c r="A31" s="2">
        <v>30</v>
      </c>
      <c r="B31" t="s">
        <v>38</v>
      </c>
      <c r="C31" s="3">
        <v>46157</v>
      </c>
      <c r="D31" s="2">
        <v>29</v>
      </c>
      <c r="E31" s="2">
        <f t="shared" si="2"/>
        <v>104.77827586206897</v>
      </c>
      <c r="F31" s="2">
        <v>400971</v>
      </c>
      <c r="G31" s="2">
        <v>224801</v>
      </c>
      <c r="H31" s="2">
        <v>3</v>
      </c>
      <c r="I31" s="2">
        <v>175</v>
      </c>
      <c r="J31" s="2">
        <v>0.17308000000000001</v>
      </c>
      <c r="K31" s="2">
        <v>3038.57</v>
      </c>
      <c r="L31" s="2">
        <f t="shared" si="3"/>
        <v>546.94259999999997</v>
      </c>
      <c r="M31" s="2">
        <f t="shared" si="1"/>
        <v>3585.5126</v>
      </c>
    </row>
    <row r="32" spans="1:13" x14ac:dyDescent="0.3">
      <c r="A32" s="2">
        <v>31</v>
      </c>
      <c r="B32" t="s">
        <v>39</v>
      </c>
      <c r="C32" s="3">
        <v>46160</v>
      </c>
      <c r="D32" s="2">
        <v>8</v>
      </c>
      <c r="E32" s="2">
        <f t="shared" si="2"/>
        <v>6.3875000000000002</v>
      </c>
      <c r="F32" s="2">
        <v>1243</v>
      </c>
      <c r="G32" s="2">
        <v>1138</v>
      </c>
      <c r="H32" s="2">
        <v>0</v>
      </c>
      <c r="I32" s="2">
        <v>0</v>
      </c>
      <c r="J32" s="2">
        <v>1.367659</v>
      </c>
      <c r="K32" s="2">
        <v>51.1</v>
      </c>
      <c r="L32" s="2">
        <f t="shared" si="3"/>
        <v>9.1980000000000004</v>
      </c>
      <c r="M32" s="2">
        <f t="shared" si="1"/>
        <v>60.298000000000002</v>
      </c>
    </row>
    <row r="33" spans="1:13" x14ac:dyDescent="0.3">
      <c r="A33" s="2">
        <v>32</v>
      </c>
      <c r="B33" t="s">
        <v>40</v>
      </c>
      <c r="C33" s="3">
        <v>46161</v>
      </c>
      <c r="D33" s="2">
        <v>144</v>
      </c>
      <c r="E33" s="2">
        <f t="shared" si="2"/>
        <v>46.311736111111117</v>
      </c>
      <c r="F33" s="2">
        <v>111237</v>
      </c>
      <c r="G33" s="2">
        <v>65034</v>
      </c>
      <c r="H33" s="2">
        <v>2</v>
      </c>
      <c r="I33" s="2">
        <v>100</v>
      </c>
      <c r="J33" s="2">
        <v>1.8968510000000001</v>
      </c>
      <c r="K33" s="2">
        <v>6668.89</v>
      </c>
      <c r="L33" s="2">
        <f t="shared" si="3"/>
        <v>1200.4002</v>
      </c>
      <c r="M33" s="2">
        <f t="shared" si="1"/>
        <v>7869.2902000000004</v>
      </c>
    </row>
    <row r="34" spans="1:13" x14ac:dyDescent="0.3">
      <c r="A34" s="2">
        <v>33</v>
      </c>
      <c r="B34" t="s">
        <v>41</v>
      </c>
      <c r="C34" s="3">
        <v>46161</v>
      </c>
      <c r="D34" s="2">
        <v>5</v>
      </c>
      <c r="E34" s="2">
        <f t="shared" si="2"/>
        <v>162.02000000000001</v>
      </c>
      <c r="F34" s="2">
        <v>98388</v>
      </c>
      <c r="G34" s="2">
        <v>70609</v>
      </c>
      <c r="H34" s="2">
        <v>1</v>
      </c>
      <c r="I34" s="2">
        <v>59</v>
      </c>
      <c r="J34" s="2">
        <v>0.16770299999999999</v>
      </c>
      <c r="K34" s="2">
        <v>810.1</v>
      </c>
      <c r="L34" s="2">
        <f t="shared" si="3"/>
        <v>145.81800000000001</v>
      </c>
      <c r="M34" s="2">
        <f t="shared" si="1"/>
        <v>955.91800000000001</v>
      </c>
    </row>
    <row r="35" spans="1:13" x14ac:dyDescent="0.3">
      <c r="A35" s="2">
        <v>34</v>
      </c>
      <c r="B35" t="s">
        <v>42</v>
      </c>
      <c r="C35" s="3">
        <v>46163</v>
      </c>
      <c r="D35" s="2">
        <v>405</v>
      </c>
      <c r="E35" s="2">
        <f t="shared" si="2"/>
        <v>31.814271604938273</v>
      </c>
      <c r="F35" s="2">
        <v>125893</v>
      </c>
      <c r="G35" s="2">
        <v>53585</v>
      </c>
      <c r="H35" s="2">
        <v>8</v>
      </c>
      <c r="I35" s="2">
        <v>284</v>
      </c>
      <c r="J35" s="2">
        <v>3.800052</v>
      </c>
      <c r="K35" s="2">
        <v>12884.78</v>
      </c>
      <c r="L35" s="2">
        <f t="shared" si="3"/>
        <v>2319.2604000000001</v>
      </c>
      <c r="M35" s="2">
        <f t="shared" si="1"/>
        <v>15204.040400000002</v>
      </c>
    </row>
    <row r="36" spans="1:13" x14ac:dyDescent="0.3">
      <c r="A36" s="2">
        <v>35</v>
      </c>
      <c r="B36" t="s">
        <v>43</v>
      </c>
      <c r="C36" s="3">
        <v>46168</v>
      </c>
      <c r="D36" s="2">
        <v>5</v>
      </c>
      <c r="E36" s="2">
        <f t="shared" si="2"/>
        <v>253.166</v>
      </c>
      <c r="F36" s="2">
        <v>42322</v>
      </c>
      <c r="G36" s="2">
        <v>33393</v>
      </c>
      <c r="H36" s="2">
        <v>0</v>
      </c>
      <c r="I36" s="2">
        <v>37</v>
      </c>
      <c r="J36" s="2">
        <v>0.72775400000000001</v>
      </c>
      <c r="K36" s="2">
        <v>1265.83</v>
      </c>
      <c r="L36" s="2">
        <f t="shared" si="3"/>
        <v>227.84939999999997</v>
      </c>
      <c r="M36" s="2">
        <f t="shared" si="1"/>
        <v>1493.6794</v>
      </c>
    </row>
    <row r="37" spans="1:13" x14ac:dyDescent="0.3">
      <c r="A37" s="2">
        <v>36</v>
      </c>
      <c r="B37" t="s">
        <v>44</v>
      </c>
      <c r="C37" s="3">
        <v>46168</v>
      </c>
      <c r="D37" s="2">
        <v>18</v>
      </c>
      <c r="E37" s="2">
        <f t="shared" si="2"/>
        <v>67.38277777777779</v>
      </c>
      <c r="F37" s="2">
        <v>72473</v>
      </c>
      <c r="G37" s="2">
        <v>57771</v>
      </c>
      <c r="H37" s="2">
        <v>1</v>
      </c>
      <c r="I37" s="2">
        <v>88</v>
      </c>
      <c r="J37" s="2">
        <v>0.31735999999999998</v>
      </c>
      <c r="K37" s="2">
        <v>1212.8900000000001</v>
      </c>
      <c r="L37" s="2">
        <f t="shared" si="3"/>
        <v>218.3202</v>
      </c>
      <c r="M37" s="2">
        <f t="shared" si="1"/>
        <v>1431.2102</v>
      </c>
    </row>
    <row r="38" spans="1:13" x14ac:dyDescent="0.3">
      <c r="A38" s="2">
        <v>37</v>
      </c>
      <c r="B38" t="s">
        <v>45</v>
      </c>
      <c r="C38" s="3">
        <v>46168</v>
      </c>
      <c r="D38" s="2">
        <v>69</v>
      </c>
      <c r="E38" s="2">
        <f t="shared" si="2"/>
        <v>42.503188405797097</v>
      </c>
      <c r="F38" s="2">
        <v>111174</v>
      </c>
      <c r="G38" s="2">
        <v>78047</v>
      </c>
      <c r="H38" s="2">
        <v>1</v>
      </c>
      <c r="I38" s="2">
        <v>146</v>
      </c>
      <c r="J38" s="2">
        <v>1.5066470000000001</v>
      </c>
      <c r="K38" s="2">
        <v>2932.72</v>
      </c>
      <c r="L38" s="2">
        <f t="shared" si="3"/>
        <v>527.88959999999997</v>
      </c>
      <c r="M38" s="2">
        <f t="shared" si="1"/>
        <v>3460.6095999999998</v>
      </c>
    </row>
    <row r="39" spans="1:13" x14ac:dyDescent="0.3">
      <c r="A39" s="2">
        <v>38</v>
      </c>
      <c r="B39" t="s">
        <v>43</v>
      </c>
      <c r="C39" s="3">
        <v>46177</v>
      </c>
      <c r="D39" s="2">
        <v>15</v>
      </c>
      <c r="E39" s="2">
        <f t="shared" si="2"/>
        <v>81.972666666666655</v>
      </c>
      <c r="F39" s="2">
        <v>8019</v>
      </c>
      <c r="G39" s="2">
        <v>5935</v>
      </c>
      <c r="H39" s="2">
        <v>0</v>
      </c>
      <c r="I39" s="2">
        <v>14</v>
      </c>
      <c r="J39" s="2">
        <v>5.6366129999999997</v>
      </c>
      <c r="K39" s="2">
        <v>1229.5899999999999</v>
      </c>
      <c r="L39" s="2">
        <f t="shared" si="3"/>
        <v>221.32619999999997</v>
      </c>
      <c r="M39" s="2">
        <f t="shared" si="1"/>
        <v>1450.9161999999999</v>
      </c>
    </row>
    <row r="40" spans="1:13" x14ac:dyDescent="0.3">
      <c r="A40" s="2">
        <v>39</v>
      </c>
      <c r="B40" t="s">
        <v>46</v>
      </c>
      <c r="C40" s="3">
        <v>46177</v>
      </c>
      <c r="D40" s="2">
        <v>359</v>
      </c>
      <c r="E40" s="2">
        <f t="shared" si="2"/>
        <v>24.099805013927575</v>
      </c>
      <c r="F40" s="2">
        <v>120937</v>
      </c>
      <c r="G40" s="2">
        <v>53797</v>
      </c>
      <c r="H40" s="2">
        <v>2</v>
      </c>
      <c r="I40" s="2">
        <v>81</v>
      </c>
      <c r="J40" s="2">
        <v>4.5362460000000002</v>
      </c>
      <c r="K40" s="2">
        <v>8651.83</v>
      </c>
      <c r="L40" s="2">
        <f t="shared" si="3"/>
        <v>1557.3293999999999</v>
      </c>
      <c r="M40" s="2">
        <f t="shared" si="1"/>
        <v>10209.1594</v>
      </c>
    </row>
    <row r="41" spans="1:13" x14ac:dyDescent="0.3">
      <c r="A41" s="2">
        <v>40</v>
      </c>
      <c r="B41" t="s">
        <v>47</v>
      </c>
      <c r="C41" s="3">
        <v>46183</v>
      </c>
      <c r="D41" s="2">
        <v>3</v>
      </c>
      <c r="E41" s="2">
        <f t="shared" si="2"/>
        <v>214.14</v>
      </c>
      <c r="F41" s="2">
        <v>16118</v>
      </c>
      <c r="G41" s="2">
        <v>12735</v>
      </c>
      <c r="H41" s="2">
        <v>0</v>
      </c>
      <c r="I41" s="2">
        <v>9</v>
      </c>
      <c r="J41" s="2">
        <v>1.0795380000000001</v>
      </c>
      <c r="K41" s="2">
        <v>642.41999999999996</v>
      </c>
      <c r="L41" s="2">
        <f t="shared" si="3"/>
        <v>115.63559999999998</v>
      </c>
      <c r="M41" s="2">
        <f t="shared" si="1"/>
        <v>758.05559999999991</v>
      </c>
    </row>
    <row r="42" spans="1:13" x14ac:dyDescent="0.3">
      <c r="A42" s="2">
        <v>41</v>
      </c>
      <c r="B42" t="s">
        <v>48</v>
      </c>
      <c r="C42" s="3">
        <v>46183</v>
      </c>
      <c r="D42" s="2">
        <v>132</v>
      </c>
      <c r="E42" s="2">
        <f t="shared" si="2"/>
        <v>17.855227272727273</v>
      </c>
      <c r="F42" s="2">
        <v>39469</v>
      </c>
      <c r="G42" s="2">
        <v>30422</v>
      </c>
      <c r="H42" s="2">
        <v>2</v>
      </c>
      <c r="I42" s="2">
        <v>90</v>
      </c>
      <c r="J42" s="2">
        <v>1.1122650000000001</v>
      </c>
      <c r="K42" s="2">
        <v>2356.89</v>
      </c>
      <c r="L42" s="2">
        <f t="shared" si="3"/>
        <v>424.24019999999996</v>
      </c>
      <c r="M42" s="2">
        <f t="shared" si="1"/>
        <v>2781.1301999999996</v>
      </c>
    </row>
    <row r="43" spans="1:13" x14ac:dyDescent="0.3">
      <c r="A43" s="2">
        <v>42</v>
      </c>
      <c r="B43" t="s">
        <v>49</v>
      </c>
      <c r="C43" s="3">
        <v>46183</v>
      </c>
      <c r="D43" s="2">
        <v>12</v>
      </c>
      <c r="E43" s="2">
        <f t="shared" si="2"/>
        <v>35.400833333333331</v>
      </c>
      <c r="F43" s="2">
        <v>9558</v>
      </c>
      <c r="G43" s="2">
        <v>8459</v>
      </c>
      <c r="H43" s="2">
        <v>0</v>
      </c>
      <c r="I43" s="2">
        <v>0</v>
      </c>
      <c r="J43" s="2">
        <v>1.71584</v>
      </c>
      <c r="K43" s="2">
        <v>424.81</v>
      </c>
      <c r="L43" s="2">
        <f t="shared" si="3"/>
        <v>76.465800000000002</v>
      </c>
      <c r="M43" s="2">
        <f t="shared" si="1"/>
        <v>501.2758</v>
      </c>
    </row>
    <row r="44" spans="1:13" x14ac:dyDescent="0.3">
      <c r="A44" s="2">
        <v>43</v>
      </c>
      <c r="B44" t="s">
        <v>25</v>
      </c>
      <c r="C44" s="3">
        <v>46188</v>
      </c>
      <c r="D44" s="2">
        <v>132</v>
      </c>
      <c r="E44" s="2">
        <f t="shared" si="2"/>
        <v>9.2200757575757564</v>
      </c>
      <c r="F44" s="2">
        <v>24794</v>
      </c>
      <c r="G44" s="2">
        <v>9671</v>
      </c>
      <c r="H44" s="2">
        <v>2</v>
      </c>
      <c r="I44" s="2">
        <v>161</v>
      </c>
      <c r="J44" s="2">
        <v>2.8877950000000001</v>
      </c>
      <c r="K44" s="2">
        <v>1217.05</v>
      </c>
      <c r="L44" s="2">
        <f t="shared" si="3"/>
        <v>219.06899999999999</v>
      </c>
      <c r="M44" s="2">
        <f t="shared" si="1"/>
        <v>1436.1189999999999</v>
      </c>
    </row>
    <row r="45" spans="1:13" x14ac:dyDescent="0.3">
      <c r="A45" s="2">
        <v>44</v>
      </c>
      <c r="B45" t="s">
        <v>50</v>
      </c>
      <c r="C45" s="3">
        <v>46195</v>
      </c>
      <c r="D45" s="2">
        <v>14</v>
      </c>
      <c r="E45" s="2">
        <f t="shared" si="2"/>
        <v>74.122857142857143</v>
      </c>
      <c r="F45" s="2">
        <v>15689</v>
      </c>
      <c r="G45" s="2">
        <v>11946</v>
      </c>
      <c r="H45" s="2">
        <v>2</v>
      </c>
      <c r="I45" s="2">
        <v>81</v>
      </c>
      <c r="J45" s="2">
        <v>0.94333599999999995</v>
      </c>
      <c r="K45" s="2">
        <v>1037.72</v>
      </c>
      <c r="L45" s="2">
        <f t="shared" si="3"/>
        <v>186.78960000000001</v>
      </c>
      <c r="M45" s="2">
        <f t="shared" si="1"/>
        <v>1224.5096000000001</v>
      </c>
    </row>
    <row r="46" spans="1:13" x14ac:dyDescent="0.3">
      <c r="A46" s="2">
        <v>45</v>
      </c>
      <c r="B46" t="s">
        <v>51</v>
      </c>
      <c r="C46" s="3">
        <v>46198</v>
      </c>
      <c r="D46" s="2">
        <v>106</v>
      </c>
      <c r="E46" s="2">
        <f t="shared" si="2"/>
        <v>21.360188679245283</v>
      </c>
      <c r="F46" s="2">
        <v>35682</v>
      </c>
      <c r="G46" s="2">
        <v>23898</v>
      </c>
      <c r="H46" s="2">
        <v>5</v>
      </c>
      <c r="I46" s="2">
        <v>57</v>
      </c>
      <c r="J46" s="2">
        <v>2.6652089999999999</v>
      </c>
      <c r="K46" s="2">
        <v>2264.1799999999998</v>
      </c>
      <c r="L46" s="2">
        <f t="shared" si="3"/>
        <v>407.55239999999998</v>
      </c>
      <c r="M46" s="2">
        <f t="shared" si="1"/>
        <v>2671.7323999999999</v>
      </c>
    </row>
    <row r="47" spans="1:13" x14ac:dyDescent="0.3">
      <c r="A47" s="2">
        <v>46</v>
      </c>
      <c r="B47" t="s">
        <v>52</v>
      </c>
      <c r="C47" s="3">
        <v>46199</v>
      </c>
      <c r="D47" s="2">
        <v>38</v>
      </c>
      <c r="E47" s="2">
        <f t="shared" si="2"/>
        <v>29.252105263157894</v>
      </c>
      <c r="F47" s="2">
        <v>25986</v>
      </c>
      <c r="G47" s="2">
        <v>18329</v>
      </c>
      <c r="H47" s="2">
        <v>0</v>
      </c>
      <c r="I47" s="2">
        <v>82</v>
      </c>
      <c r="J47" s="2">
        <v>0.58492999999999995</v>
      </c>
      <c r="K47" s="2">
        <v>1111.58</v>
      </c>
      <c r="L47" s="2">
        <f t="shared" si="3"/>
        <v>200.08439999999999</v>
      </c>
      <c r="M47" s="2">
        <f t="shared" si="1"/>
        <v>1311.6643999999999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Meta 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SHRIHARI R</dc:creator>
  <cp:lastModifiedBy>SHRIHARI R</cp:lastModifiedBy>
  <dcterms:created xsi:type="dcterms:W3CDTF">2026-08-27T16:02:37Z</dcterms:created>
  <dcterms:modified xsi:type="dcterms:W3CDTF">2026-08-27T19:52:41Z</dcterms:modified>
</cp:coreProperties>
</file>